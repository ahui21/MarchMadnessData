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win/Documents/Personal/Personal Projects/MarchMadnessData/"/>
    </mc:Choice>
  </mc:AlternateContent>
  <bookViews>
    <workbookView xWindow="0" yWindow="460" windowWidth="28800" windowHeight="163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6" i="1" l="1"/>
  <c r="E67" i="1"/>
  <c r="D66" i="1"/>
  <c r="D67" i="1"/>
  <c r="A68" i="1"/>
  <c r="A71" i="1"/>
  <c r="B68" i="1"/>
  <c r="B71" i="1"/>
  <c r="C68" i="1"/>
  <c r="C71" i="1"/>
  <c r="D68" i="1"/>
  <c r="D71" i="1"/>
  <c r="E68" i="1"/>
  <c r="E71" i="1"/>
  <c r="F68" i="1"/>
  <c r="F71" i="1"/>
  <c r="G68" i="1"/>
  <c r="G71" i="1"/>
  <c r="H71" i="1"/>
  <c r="G67" i="1"/>
  <c r="F67" i="1"/>
  <c r="C67" i="1"/>
  <c r="B67" i="1"/>
  <c r="A67" i="1"/>
  <c r="A66" i="1"/>
  <c r="A70" i="1"/>
  <c r="B66" i="1"/>
  <c r="B70" i="1"/>
  <c r="C66" i="1"/>
  <c r="C70" i="1"/>
  <c r="D70" i="1"/>
  <c r="E70" i="1"/>
  <c r="F66" i="1"/>
  <c r="F70" i="1"/>
  <c r="G66" i="1"/>
  <c r="G70" i="1"/>
  <c r="H70" i="1"/>
</calcChain>
</file>

<file path=xl/sharedStrings.xml><?xml version="1.0" encoding="utf-8"?>
<sst xmlns="http://schemas.openxmlformats.org/spreadsheetml/2006/main" count="130" uniqueCount="68">
  <si>
    <t>Kansas</t>
  </si>
  <si>
    <t>Austin Peay</t>
  </si>
  <si>
    <t>Colorado</t>
  </si>
  <si>
    <t>Connecticut</t>
  </si>
  <si>
    <t>Maryland</t>
  </si>
  <si>
    <t>California</t>
  </si>
  <si>
    <t>Hawaii</t>
  </si>
  <si>
    <t>Arizona</t>
  </si>
  <si>
    <t>Miami (FL)</t>
  </si>
  <si>
    <t>Buffalo</t>
  </si>
  <si>
    <t>Iowa</t>
  </si>
  <si>
    <t>Temple</t>
  </si>
  <si>
    <t>Villanova</t>
  </si>
  <si>
    <t>UNC Asheville</t>
  </si>
  <si>
    <t>Oregon</t>
  </si>
  <si>
    <t>Holy Cross</t>
  </si>
  <si>
    <t>Saint Joseph's</t>
  </si>
  <si>
    <t>Cincinnati</t>
  </si>
  <si>
    <t>Baylor</t>
  </si>
  <si>
    <t>Yale</t>
  </si>
  <si>
    <t>Duke</t>
  </si>
  <si>
    <t>UNC Wilmington</t>
  </si>
  <si>
    <t>Texas</t>
  </si>
  <si>
    <t>Northern Iowa</t>
  </si>
  <si>
    <t>Texas A&amp;M</t>
  </si>
  <si>
    <t>Green Bay</t>
  </si>
  <si>
    <t>Oregon St.</t>
  </si>
  <si>
    <t>VCU</t>
  </si>
  <si>
    <t>Oklahoma</t>
  </si>
  <si>
    <t>CSU Bakersfield</t>
  </si>
  <si>
    <t>North Carolina</t>
  </si>
  <si>
    <t>Florida Gulf Coast</t>
  </si>
  <si>
    <t>USC</t>
  </si>
  <si>
    <t>Providence</t>
  </si>
  <si>
    <t>Indiana</t>
  </si>
  <si>
    <t>Chattanooga</t>
  </si>
  <si>
    <t>Kentucky</t>
  </si>
  <si>
    <t>Stony Brook</t>
  </si>
  <si>
    <t>Notre Dame</t>
  </si>
  <si>
    <t>Michigan</t>
  </si>
  <si>
    <t>West Virginia</t>
  </si>
  <si>
    <t>Stephen F. Austin</t>
  </si>
  <si>
    <t>Wisconsin</t>
  </si>
  <si>
    <t>Pittsburgh</t>
  </si>
  <si>
    <t>Xavier</t>
  </si>
  <si>
    <t>Weber St.</t>
  </si>
  <si>
    <t>Virginia</t>
  </si>
  <si>
    <t>Hampton</t>
  </si>
  <si>
    <t>Texas Tech</t>
  </si>
  <si>
    <t>Butler</t>
  </si>
  <si>
    <t>Purdue</t>
  </si>
  <si>
    <t>South Dakota St.</t>
  </si>
  <si>
    <t>Wichita St.</t>
  </si>
  <si>
    <t>Ark. Little Rock</t>
  </si>
  <si>
    <t>Iowa St.</t>
  </si>
  <si>
    <t>Iona</t>
  </si>
  <si>
    <t>Seton Hall</t>
  </si>
  <si>
    <t>Gonzaga</t>
  </si>
  <si>
    <t>Utah</t>
  </si>
  <si>
    <t>Fresno St.</t>
  </si>
  <si>
    <t>Dayton</t>
  </si>
  <si>
    <t>Syracuse</t>
  </si>
  <si>
    <t>Michigan St.</t>
  </si>
  <si>
    <t>Mid. Tennessee</t>
  </si>
  <si>
    <t>Kansas
73-63</t>
  </si>
  <si>
    <t>Correct Pick</t>
  </si>
  <si>
    <t>Incorrect Pick</t>
  </si>
  <si>
    <t>Potentially Correct Pick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</si>
</sst>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2" borderId="0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71"/>
  <sheetViews>
    <sheetView tabSelected="1" showRuler="0" workbookViewId="0">
      <selection activeCell="D1" sqref="D1:D8"/>
    </sheetView>
  </sheetViews>
  <sheetFormatPr baseColWidth="10" defaultRowHeight="16" x14ac:dyDescent="0.2"/>
  <cols>
    <col min="1" max="9" width="21.83203125" customWidth="1"/>
  </cols>
  <sheetData>
    <row r="1" spans="1:9" x14ac:dyDescent="0.2">
      <c r="A1" s="1" t="s">
        <v>0</v>
      </c>
      <c r="B1" s="6" t="s">
        <v>0</v>
      </c>
      <c r="C1" s="6" t="s">
        <v>0</v>
      </c>
      <c r="D1" s="6" t="s">
        <v>0</v>
      </c>
      <c r="E1" s="7" t="s">
        <v>0</v>
      </c>
      <c r="F1" s="7" t="s">
        <v>0</v>
      </c>
      <c r="G1" s="9" t="s">
        <v>64</v>
      </c>
      <c r="I1" s="2" t="s">
        <v>65</v>
      </c>
    </row>
    <row r="2" spans="1:9" x14ac:dyDescent="0.2">
      <c r="A2" s="1" t="s">
        <v>1</v>
      </c>
      <c r="B2" s="6"/>
      <c r="C2" s="6"/>
      <c r="D2" s="6"/>
      <c r="E2" s="7"/>
      <c r="F2" s="7"/>
      <c r="G2" s="7"/>
      <c r="I2" s="3" t="s">
        <v>66</v>
      </c>
    </row>
    <row r="3" spans="1:9" x14ac:dyDescent="0.2">
      <c r="A3" s="1" t="s">
        <v>2</v>
      </c>
      <c r="B3" s="7" t="s">
        <v>2</v>
      </c>
      <c r="C3" s="6"/>
      <c r="D3" s="6"/>
      <c r="E3" s="7"/>
      <c r="F3" s="7"/>
      <c r="G3" s="7"/>
      <c r="I3" s="4" t="s">
        <v>67</v>
      </c>
    </row>
    <row r="4" spans="1:9" x14ac:dyDescent="0.2">
      <c r="A4" s="1" t="s">
        <v>3</v>
      </c>
      <c r="B4" s="7"/>
      <c r="C4" s="6"/>
      <c r="D4" s="6"/>
      <c r="E4" s="7"/>
      <c r="F4" s="7"/>
      <c r="G4" s="7"/>
    </row>
    <row r="5" spans="1:9" x14ac:dyDescent="0.2">
      <c r="A5" s="1" t="s">
        <v>4</v>
      </c>
      <c r="B5" s="6" t="s">
        <v>4</v>
      </c>
      <c r="C5" s="6" t="s">
        <v>4</v>
      </c>
      <c r="D5" s="6"/>
      <c r="E5" s="7"/>
      <c r="F5" s="7"/>
      <c r="G5" s="7"/>
    </row>
    <row r="6" spans="1:9" x14ac:dyDescent="0.2">
      <c r="A6" s="1" t="s">
        <v>51</v>
      </c>
      <c r="B6" s="6"/>
      <c r="C6" s="6"/>
      <c r="D6" s="6"/>
      <c r="E6" s="7"/>
      <c r="F6" s="7"/>
      <c r="G6" s="7"/>
    </row>
    <row r="7" spans="1:9" x14ac:dyDescent="0.2">
      <c r="A7" s="1" t="s">
        <v>5</v>
      </c>
      <c r="B7" s="8" t="s">
        <v>5</v>
      </c>
      <c r="C7" s="6"/>
      <c r="D7" s="6"/>
      <c r="E7" s="7"/>
      <c r="F7" s="7"/>
      <c r="G7" s="7"/>
    </row>
    <row r="8" spans="1:9" x14ac:dyDescent="0.2">
      <c r="A8" s="1" t="s">
        <v>6</v>
      </c>
      <c r="B8" s="8"/>
      <c r="C8" s="6"/>
      <c r="D8" s="6"/>
      <c r="E8" s="7"/>
      <c r="F8" s="7"/>
      <c r="G8" s="7"/>
    </row>
    <row r="9" spans="1:9" x14ac:dyDescent="0.2">
      <c r="A9" s="1" t="s">
        <v>7</v>
      </c>
      <c r="B9" s="8" t="s">
        <v>7</v>
      </c>
      <c r="C9" s="6" t="s">
        <v>8</v>
      </c>
      <c r="D9" s="6" t="s">
        <v>12</v>
      </c>
      <c r="E9" s="7"/>
      <c r="F9" s="7"/>
      <c r="G9" s="7"/>
    </row>
    <row r="10" spans="1:9" x14ac:dyDescent="0.2">
      <c r="A10" s="1" t="s">
        <v>52</v>
      </c>
      <c r="B10" s="8"/>
      <c r="C10" s="6"/>
      <c r="D10" s="6"/>
      <c r="E10" s="7"/>
      <c r="F10" s="7"/>
      <c r="G10" s="7"/>
    </row>
    <row r="11" spans="1:9" x14ac:dyDescent="0.2">
      <c r="A11" s="1" t="s">
        <v>8</v>
      </c>
      <c r="B11" s="5" t="s">
        <v>8</v>
      </c>
      <c r="C11" s="6"/>
      <c r="D11" s="6"/>
      <c r="E11" s="7"/>
      <c r="F11" s="7"/>
      <c r="G11" s="7"/>
    </row>
    <row r="12" spans="1:9" x14ac:dyDescent="0.2">
      <c r="A12" s="1" t="s">
        <v>9</v>
      </c>
      <c r="B12" s="5"/>
      <c r="C12" s="6"/>
      <c r="D12" s="6"/>
      <c r="E12" s="7"/>
      <c r="F12" s="7"/>
      <c r="G12" s="7"/>
    </row>
    <row r="13" spans="1:9" x14ac:dyDescent="0.2">
      <c r="A13" s="1" t="s">
        <v>10</v>
      </c>
      <c r="B13" s="5" t="s">
        <v>10</v>
      </c>
      <c r="C13" s="5" t="s">
        <v>12</v>
      </c>
      <c r="D13" s="6"/>
      <c r="E13" s="7"/>
      <c r="F13" s="7"/>
      <c r="G13" s="7"/>
    </row>
    <row r="14" spans="1:9" x14ac:dyDescent="0.2">
      <c r="A14" s="1" t="s">
        <v>11</v>
      </c>
      <c r="B14" s="5"/>
      <c r="C14" s="5"/>
      <c r="D14" s="6"/>
      <c r="E14" s="7"/>
      <c r="F14" s="7"/>
      <c r="G14" s="7"/>
    </row>
    <row r="15" spans="1:9" x14ac:dyDescent="0.2">
      <c r="A15" s="1" t="s">
        <v>12</v>
      </c>
      <c r="B15" s="5" t="s">
        <v>12</v>
      </c>
      <c r="C15" s="5"/>
      <c r="D15" s="6"/>
      <c r="E15" s="7"/>
      <c r="F15" s="7"/>
      <c r="G15" s="7"/>
    </row>
    <row r="16" spans="1:9" x14ac:dyDescent="0.2">
      <c r="A16" s="1" t="s">
        <v>13</v>
      </c>
      <c r="B16" s="5"/>
      <c r="C16" s="5"/>
      <c r="D16" s="6"/>
      <c r="E16" s="7"/>
      <c r="F16" s="7"/>
      <c r="G16" s="7"/>
    </row>
    <row r="17" spans="1:7" x14ac:dyDescent="0.2">
      <c r="A17" s="1" t="s">
        <v>14</v>
      </c>
      <c r="B17" s="5" t="s">
        <v>14</v>
      </c>
      <c r="C17" s="5" t="s">
        <v>14</v>
      </c>
      <c r="D17" s="6" t="s">
        <v>14</v>
      </c>
      <c r="E17" s="6" t="s">
        <v>28</v>
      </c>
      <c r="F17" s="7"/>
      <c r="G17" s="7"/>
    </row>
    <row r="18" spans="1:7" x14ac:dyDescent="0.2">
      <c r="A18" s="1" t="s">
        <v>15</v>
      </c>
      <c r="B18" s="5"/>
      <c r="C18" s="5"/>
      <c r="D18" s="6"/>
      <c r="E18" s="6"/>
      <c r="F18" s="7"/>
      <c r="G18" s="7"/>
    </row>
    <row r="19" spans="1:7" x14ac:dyDescent="0.2">
      <c r="A19" s="1" t="s">
        <v>16</v>
      </c>
      <c r="B19" s="5" t="s">
        <v>16</v>
      </c>
      <c r="C19" s="5"/>
      <c r="D19" s="6"/>
      <c r="E19" s="6"/>
      <c r="F19" s="7"/>
      <c r="G19" s="7"/>
    </row>
    <row r="20" spans="1:7" x14ac:dyDescent="0.2">
      <c r="A20" s="1" t="s">
        <v>17</v>
      </c>
      <c r="B20" s="5"/>
      <c r="C20" s="5"/>
      <c r="D20" s="6"/>
      <c r="E20" s="6"/>
      <c r="F20" s="7"/>
      <c r="G20" s="7"/>
    </row>
    <row r="21" spans="1:7" x14ac:dyDescent="0.2">
      <c r="A21" s="1" t="s">
        <v>18</v>
      </c>
      <c r="B21" s="8" t="s">
        <v>18</v>
      </c>
      <c r="C21" s="8" t="s">
        <v>18</v>
      </c>
      <c r="D21" s="6"/>
      <c r="E21" s="6"/>
      <c r="F21" s="7"/>
      <c r="G21" s="7"/>
    </row>
    <row r="22" spans="1:7" x14ac:dyDescent="0.2">
      <c r="A22" s="1" t="s">
        <v>19</v>
      </c>
      <c r="B22" s="8"/>
      <c r="C22" s="8"/>
      <c r="D22" s="6"/>
      <c r="E22" s="6"/>
      <c r="F22" s="7"/>
      <c r="G22" s="7"/>
    </row>
    <row r="23" spans="1:7" x14ac:dyDescent="0.2">
      <c r="A23" s="1" t="s">
        <v>20</v>
      </c>
      <c r="B23" s="5" t="s">
        <v>20</v>
      </c>
      <c r="C23" s="8"/>
      <c r="D23" s="6"/>
      <c r="E23" s="6"/>
      <c r="F23" s="7"/>
      <c r="G23" s="7"/>
    </row>
    <row r="24" spans="1:7" x14ac:dyDescent="0.2">
      <c r="A24" s="1" t="s">
        <v>21</v>
      </c>
      <c r="B24" s="5"/>
      <c r="C24" s="8"/>
      <c r="D24" s="6"/>
      <c r="E24" s="6"/>
      <c r="F24" s="7"/>
      <c r="G24" s="7"/>
    </row>
    <row r="25" spans="1:7" x14ac:dyDescent="0.2">
      <c r="A25" s="1" t="s">
        <v>22</v>
      </c>
      <c r="B25" s="8" t="s">
        <v>22</v>
      </c>
      <c r="C25" s="5" t="s">
        <v>24</v>
      </c>
      <c r="D25" s="5" t="s">
        <v>28</v>
      </c>
      <c r="E25" s="6"/>
      <c r="F25" s="7"/>
      <c r="G25" s="7"/>
    </row>
    <row r="26" spans="1:7" x14ac:dyDescent="0.2">
      <c r="A26" s="1" t="s">
        <v>23</v>
      </c>
      <c r="B26" s="8"/>
      <c r="C26" s="5"/>
      <c r="D26" s="5"/>
      <c r="E26" s="6"/>
      <c r="F26" s="7"/>
      <c r="G26" s="7"/>
    </row>
    <row r="27" spans="1:7" x14ac:dyDescent="0.2">
      <c r="A27" s="1" t="s">
        <v>24</v>
      </c>
      <c r="B27" s="5" t="s">
        <v>24</v>
      </c>
      <c r="C27" s="5"/>
      <c r="D27" s="5"/>
      <c r="E27" s="6"/>
      <c r="F27" s="7"/>
      <c r="G27" s="7"/>
    </row>
    <row r="28" spans="1:7" x14ac:dyDescent="0.2">
      <c r="A28" s="1" t="s">
        <v>25</v>
      </c>
      <c r="B28" s="5"/>
      <c r="C28" s="5"/>
      <c r="D28" s="5"/>
      <c r="E28" s="6"/>
      <c r="F28" s="7"/>
      <c r="G28" s="7"/>
    </row>
    <row r="29" spans="1:7" x14ac:dyDescent="0.2">
      <c r="A29" s="1" t="s">
        <v>26</v>
      </c>
      <c r="B29" s="5" t="s">
        <v>27</v>
      </c>
      <c r="C29" s="5" t="s">
        <v>28</v>
      </c>
      <c r="D29" s="5"/>
      <c r="E29" s="6"/>
      <c r="F29" s="7"/>
      <c r="G29" s="7"/>
    </row>
    <row r="30" spans="1:7" x14ac:dyDescent="0.2">
      <c r="A30" s="1" t="s">
        <v>27</v>
      </c>
      <c r="B30" s="5"/>
      <c r="C30" s="5"/>
      <c r="D30" s="5"/>
      <c r="E30" s="6"/>
      <c r="F30" s="7"/>
      <c r="G30" s="7"/>
    </row>
    <row r="31" spans="1:7" x14ac:dyDescent="0.2">
      <c r="A31" s="1" t="s">
        <v>28</v>
      </c>
      <c r="B31" s="5" t="s">
        <v>28</v>
      </c>
      <c r="C31" s="5"/>
      <c r="D31" s="5"/>
      <c r="E31" s="6"/>
      <c r="F31" s="7"/>
      <c r="G31" s="7"/>
    </row>
    <row r="32" spans="1:7" x14ac:dyDescent="0.2">
      <c r="A32" s="1" t="s">
        <v>29</v>
      </c>
      <c r="B32" s="5"/>
      <c r="C32" s="5"/>
      <c r="D32" s="5"/>
      <c r="E32" s="6"/>
      <c r="F32" s="7"/>
      <c r="G32" s="7"/>
    </row>
    <row r="33" spans="1:7" x14ac:dyDescent="0.2">
      <c r="A33" s="1" t="s">
        <v>30</v>
      </c>
      <c r="B33" s="5" t="s">
        <v>30</v>
      </c>
      <c r="C33" s="5" t="s">
        <v>30</v>
      </c>
      <c r="D33" s="5" t="s">
        <v>30</v>
      </c>
      <c r="E33" s="6" t="s">
        <v>30</v>
      </c>
      <c r="F33" s="7" t="s">
        <v>62</v>
      </c>
      <c r="G33" s="7"/>
    </row>
    <row r="34" spans="1:7" x14ac:dyDescent="0.2">
      <c r="A34" s="1" t="s">
        <v>31</v>
      </c>
      <c r="B34" s="5"/>
      <c r="C34" s="5"/>
      <c r="D34" s="5"/>
      <c r="E34" s="6"/>
      <c r="F34" s="7"/>
      <c r="G34" s="7"/>
    </row>
    <row r="35" spans="1:7" x14ac:dyDescent="0.2">
      <c r="A35" s="1" t="s">
        <v>32</v>
      </c>
      <c r="B35" s="5" t="s">
        <v>33</v>
      </c>
      <c r="C35" s="5"/>
      <c r="D35" s="5"/>
      <c r="E35" s="6"/>
      <c r="F35" s="7"/>
      <c r="G35" s="7"/>
    </row>
    <row r="36" spans="1:7" x14ac:dyDescent="0.2">
      <c r="A36" s="1" t="s">
        <v>33</v>
      </c>
      <c r="B36" s="5"/>
      <c r="C36" s="5"/>
      <c r="D36" s="5"/>
      <c r="E36" s="6"/>
      <c r="F36" s="7"/>
      <c r="G36" s="7"/>
    </row>
    <row r="37" spans="1:7" x14ac:dyDescent="0.2">
      <c r="A37" s="1" t="s">
        <v>34</v>
      </c>
      <c r="B37" s="5" t="s">
        <v>34</v>
      </c>
      <c r="C37" s="8" t="s">
        <v>36</v>
      </c>
      <c r="D37" s="5"/>
      <c r="E37" s="6"/>
      <c r="F37" s="7"/>
      <c r="G37" s="7"/>
    </row>
    <row r="38" spans="1:7" x14ac:dyDescent="0.2">
      <c r="A38" s="1" t="s">
        <v>35</v>
      </c>
      <c r="B38" s="5"/>
      <c r="C38" s="8"/>
      <c r="D38" s="5"/>
      <c r="E38" s="6"/>
      <c r="F38" s="7"/>
      <c r="G38" s="7"/>
    </row>
    <row r="39" spans="1:7" x14ac:dyDescent="0.2">
      <c r="A39" s="1" t="s">
        <v>36</v>
      </c>
      <c r="B39" s="5" t="s">
        <v>36</v>
      </c>
      <c r="C39" s="8"/>
      <c r="D39" s="5"/>
      <c r="E39" s="6"/>
      <c r="F39" s="7"/>
      <c r="G39" s="7"/>
    </row>
    <row r="40" spans="1:7" x14ac:dyDescent="0.2">
      <c r="A40" s="1" t="s">
        <v>37</v>
      </c>
      <c r="B40" s="5"/>
      <c r="C40" s="8"/>
      <c r="D40" s="5"/>
      <c r="E40" s="6"/>
      <c r="F40" s="7"/>
      <c r="G40" s="7"/>
    </row>
    <row r="41" spans="1:7" x14ac:dyDescent="0.2">
      <c r="A41" s="1" t="s">
        <v>38</v>
      </c>
      <c r="B41" s="5" t="s">
        <v>38</v>
      </c>
      <c r="C41" s="8" t="s">
        <v>40</v>
      </c>
      <c r="D41" s="8" t="s">
        <v>44</v>
      </c>
      <c r="E41" s="6"/>
      <c r="F41" s="7"/>
      <c r="G41" s="7"/>
    </row>
    <row r="42" spans="1:7" x14ac:dyDescent="0.2">
      <c r="A42" s="1" t="s">
        <v>39</v>
      </c>
      <c r="B42" s="5"/>
      <c r="C42" s="8"/>
      <c r="D42" s="8"/>
      <c r="E42" s="6"/>
      <c r="F42" s="7"/>
      <c r="G42" s="7"/>
    </row>
    <row r="43" spans="1:7" x14ac:dyDescent="0.2">
      <c r="A43" s="1" t="s">
        <v>40</v>
      </c>
      <c r="B43" s="8" t="s">
        <v>40</v>
      </c>
      <c r="C43" s="8"/>
      <c r="D43" s="8"/>
      <c r="E43" s="6"/>
      <c r="F43" s="7"/>
      <c r="G43" s="7"/>
    </row>
    <row r="44" spans="1:7" x14ac:dyDescent="0.2">
      <c r="A44" s="1" t="s">
        <v>41</v>
      </c>
      <c r="B44" s="8"/>
      <c r="C44" s="8"/>
      <c r="D44" s="8"/>
      <c r="E44" s="6"/>
      <c r="F44" s="7"/>
      <c r="G44" s="7"/>
    </row>
    <row r="45" spans="1:7" x14ac:dyDescent="0.2">
      <c r="A45" s="1" t="s">
        <v>42</v>
      </c>
      <c r="B45" s="5" t="s">
        <v>42</v>
      </c>
      <c r="C45" s="8" t="s">
        <v>44</v>
      </c>
      <c r="D45" s="8"/>
      <c r="E45" s="6"/>
      <c r="F45" s="7"/>
      <c r="G45" s="7"/>
    </row>
    <row r="46" spans="1:7" x14ac:dyDescent="0.2">
      <c r="A46" s="1" t="s">
        <v>43</v>
      </c>
      <c r="B46" s="5"/>
      <c r="C46" s="8"/>
      <c r="D46" s="8"/>
      <c r="E46" s="6"/>
      <c r="F46" s="7"/>
      <c r="G46" s="7"/>
    </row>
    <row r="47" spans="1:7" x14ac:dyDescent="0.2">
      <c r="A47" s="1" t="s">
        <v>44</v>
      </c>
      <c r="B47" s="5" t="s">
        <v>44</v>
      </c>
      <c r="C47" s="8"/>
      <c r="D47" s="8"/>
      <c r="E47" s="6"/>
      <c r="F47" s="7"/>
      <c r="G47" s="7"/>
    </row>
    <row r="48" spans="1:7" x14ac:dyDescent="0.2">
      <c r="A48" s="1" t="s">
        <v>45</v>
      </c>
      <c r="B48" s="5"/>
      <c r="C48" s="8"/>
      <c r="D48" s="8"/>
      <c r="E48" s="6"/>
      <c r="F48" s="7"/>
      <c r="G48" s="7"/>
    </row>
    <row r="49" spans="1:7" x14ac:dyDescent="0.2">
      <c r="A49" s="1" t="s">
        <v>46</v>
      </c>
      <c r="B49" s="5" t="s">
        <v>46</v>
      </c>
      <c r="C49" s="5" t="s">
        <v>46</v>
      </c>
      <c r="D49" s="5" t="s">
        <v>46</v>
      </c>
      <c r="E49" s="7" t="s">
        <v>62</v>
      </c>
      <c r="F49" s="7"/>
      <c r="G49" s="7"/>
    </row>
    <row r="50" spans="1:7" x14ac:dyDescent="0.2">
      <c r="A50" s="1" t="s">
        <v>47</v>
      </c>
      <c r="B50" s="5"/>
      <c r="C50" s="5"/>
      <c r="D50" s="5"/>
      <c r="E50" s="7"/>
      <c r="F50" s="7"/>
      <c r="G50" s="7"/>
    </row>
    <row r="51" spans="1:7" x14ac:dyDescent="0.2">
      <c r="A51" s="1" t="s">
        <v>48</v>
      </c>
      <c r="B51" s="5" t="s">
        <v>49</v>
      </c>
      <c r="C51" s="5"/>
      <c r="D51" s="5"/>
      <c r="E51" s="7"/>
      <c r="F51" s="7"/>
      <c r="G51" s="7"/>
    </row>
    <row r="52" spans="1:7" x14ac:dyDescent="0.2">
      <c r="A52" s="1" t="s">
        <v>49</v>
      </c>
      <c r="B52" s="5"/>
      <c r="C52" s="5"/>
      <c r="D52" s="5"/>
      <c r="E52" s="7"/>
      <c r="F52" s="7"/>
      <c r="G52" s="7"/>
    </row>
    <row r="53" spans="1:7" x14ac:dyDescent="0.2">
      <c r="A53" s="1" t="s">
        <v>50</v>
      </c>
      <c r="B53" s="8" t="s">
        <v>50</v>
      </c>
      <c r="C53" s="8" t="s">
        <v>50</v>
      </c>
      <c r="D53" s="5"/>
      <c r="E53" s="7"/>
      <c r="F53" s="7"/>
      <c r="G53" s="7"/>
    </row>
    <row r="54" spans="1:7" x14ac:dyDescent="0.2">
      <c r="A54" s="1" t="s">
        <v>53</v>
      </c>
      <c r="B54" s="8"/>
      <c r="C54" s="8"/>
      <c r="D54" s="5"/>
      <c r="E54" s="7"/>
      <c r="F54" s="7"/>
      <c r="G54" s="7"/>
    </row>
    <row r="55" spans="1:7" x14ac:dyDescent="0.2">
      <c r="A55" s="1" t="s">
        <v>54</v>
      </c>
      <c r="B55" s="5" t="s">
        <v>54</v>
      </c>
      <c r="C55" s="8"/>
      <c r="D55" s="5"/>
      <c r="E55" s="7"/>
      <c r="F55" s="7"/>
      <c r="G55" s="7"/>
    </row>
    <row r="56" spans="1:7" x14ac:dyDescent="0.2">
      <c r="A56" s="1" t="s">
        <v>55</v>
      </c>
      <c r="B56" s="5"/>
      <c r="C56" s="8"/>
      <c r="D56" s="5"/>
      <c r="E56" s="7"/>
      <c r="F56" s="7"/>
      <c r="G56" s="7"/>
    </row>
    <row r="57" spans="1:7" x14ac:dyDescent="0.2">
      <c r="A57" s="1" t="s">
        <v>56</v>
      </c>
      <c r="B57" s="8" t="s">
        <v>56</v>
      </c>
      <c r="C57" s="8" t="s">
        <v>58</v>
      </c>
      <c r="D57" s="8" t="s">
        <v>62</v>
      </c>
      <c r="E57" s="7"/>
      <c r="F57" s="7"/>
      <c r="G57" s="7"/>
    </row>
    <row r="58" spans="1:7" x14ac:dyDescent="0.2">
      <c r="A58" s="1" t="s">
        <v>57</v>
      </c>
      <c r="B58" s="8"/>
      <c r="C58" s="8"/>
      <c r="D58" s="8"/>
      <c r="E58" s="7"/>
      <c r="F58" s="7"/>
      <c r="G58" s="7"/>
    </row>
    <row r="59" spans="1:7" x14ac:dyDescent="0.2">
      <c r="A59" s="1" t="s">
        <v>58</v>
      </c>
      <c r="B59" s="5" t="s">
        <v>58</v>
      </c>
      <c r="C59" s="8"/>
      <c r="D59" s="8"/>
      <c r="E59" s="7"/>
      <c r="F59" s="7"/>
      <c r="G59" s="7"/>
    </row>
    <row r="60" spans="1:7" x14ac:dyDescent="0.2">
      <c r="A60" s="1" t="s">
        <v>59</v>
      </c>
      <c r="B60" s="5"/>
      <c r="C60" s="8"/>
      <c r="D60" s="8"/>
      <c r="E60" s="7"/>
      <c r="F60" s="7"/>
      <c r="G60" s="7"/>
    </row>
    <row r="61" spans="1:7" x14ac:dyDescent="0.2">
      <c r="A61" s="1" t="s">
        <v>60</v>
      </c>
      <c r="B61" s="8" t="s">
        <v>60</v>
      </c>
      <c r="C61" s="8" t="s">
        <v>62</v>
      </c>
      <c r="D61" s="8"/>
      <c r="E61" s="7"/>
      <c r="F61" s="7"/>
      <c r="G61" s="7"/>
    </row>
    <row r="62" spans="1:7" x14ac:dyDescent="0.2">
      <c r="A62" s="1" t="s">
        <v>61</v>
      </c>
      <c r="B62" s="8"/>
      <c r="C62" s="8"/>
      <c r="D62" s="8"/>
      <c r="E62" s="7"/>
      <c r="F62" s="7"/>
      <c r="G62" s="7"/>
    </row>
    <row r="63" spans="1:7" x14ac:dyDescent="0.2">
      <c r="A63" s="1" t="s">
        <v>62</v>
      </c>
      <c r="B63" s="8" t="s">
        <v>62</v>
      </c>
      <c r="C63" s="8"/>
      <c r="D63" s="8"/>
      <c r="E63" s="7"/>
      <c r="F63" s="7"/>
      <c r="G63" s="7"/>
    </row>
    <row r="64" spans="1:7" x14ac:dyDescent="0.2">
      <c r="A64" s="1" t="s">
        <v>63</v>
      </c>
      <c r="B64" s="8"/>
      <c r="C64" s="8"/>
      <c r="D64" s="8"/>
      <c r="E64" s="7"/>
      <c r="F64" s="7"/>
      <c r="G64" s="7"/>
    </row>
    <row r="66" spans="1:8" x14ac:dyDescent="0.2">
      <c r="A66">
        <f ca="1">CountCellsByColor(A1:A64, I1)</f>
        <v>64</v>
      </c>
      <c r="B66">
        <f ca="1">CountCellsByColor(B1:B64, I1)/2</f>
        <v>22</v>
      </c>
      <c r="C66">
        <f ca="1">CountCellsByColor(C1:C64, I1)/4</f>
        <v>9</v>
      </c>
      <c r="D66">
        <f ca="1">CountCellsByColor(D1:D64, I1)/8</f>
        <v>6</v>
      </c>
      <c r="E66">
        <f ca="1">CountCellsByColor(E1:E64, I1)/16</f>
        <v>2</v>
      </c>
      <c r="F66">
        <f ca="1">CountCellsByColor(F1:F64, I1)/32</f>
        <v>0</v>
      </c>
      <c r="G66">
        <f ca="1">CountCellsByColor(G1:G64, I1)/64</f>
        <v>0</v>
      </c>
    </row>
    <row r="67" spans="1:8" x14ac:dyDescent="0.2">
      <c r="A67">
        <f ca="1">CountCellsByColor(A1:A64, I2)</f>
        <v>0</v>
      </c>
      <c r="B67">
        <f ca="1">CountCellsByColor(B1:B64, I2)/2</f>
        <v>10</v>
      </c>
      <c r="C67">
        <f ca="1">CountCellsByColor(C1:C64, I2)/4</f>
        <v>7</v>
      </c>
      <c r="D67">
        <f ca="1">CountCellsByColor(D1:D64, I2)/8</f>
        <v>2</v>
      </c>
      <c r="E67">
        <f ca="1">CountCellsByColor(E1:E64, I2)/16</f>
        <v>2</v>
      </c>
      <c r="F67">
        <f ca="1">CountCellsByColor(F1:F64, I2)/32</f>
        <v>2</v>
      </c>
      <c r="G67">
        <f ca="1">CountCellsByColor(G1:G64, I2)/64</f>
        <v>1</v>
      </c>
    </row>
    <row r="68" spans="1:8" x14ac:dyDescent="0.2">
      <c r="A68">
        <f ca="1">CountCellsByColor(A1:A64, I3)</f>
        <v>0</v>
      </c>
      <c r="B68">
        <f ca="1">CountCellsByColor(B1:B64, I3)/2</f>
        <v>0</v>
      </c>
      <c r="C68">
        <f ca="1">CountCellsByColor(C1:C64, I3)/4</f>
        <v>0</v>
      </c>
      <c r="D68">
        <f ca="1">CountCellsByColor(D1:D64, I3)/8</f>
        <v>0</v>
      </c>
      <c r="E68">
        <f ca="1">CountCellsByColor(E1:E64, I3)/16</f>
        <v>0</v>
      </c>
      <c r="F68">
        <f ca="1">CountCellsByColor(F1:F64, I3)/32</f>
        <v>0</v>
      </c>
      <c r="G68">
        <f ca="1">CountCellsByColor(G1:G64, I3)/64</f>
        <v>0</v>
      </c>
    </row>
    <row r="70" spans="1:8" x14ac:dyDescent="0.2">
      <c r="A70">
        <f ca="1">A66*0</f>
        <v>0</v>
      </c>
      <c r="B70">
        <f ca="1">B66*10</f>
        <v>220</v>
      </c>
      <c r="C70">
        <f ca="1">C66*20</f>
        <v>180</v>
      </c>
      <c r="D70">
        <f ca="1">D66*40</f>
        <v>240</v>
      </c>
      <c r="E70">
        <f ca="1">E66*80</f>
        <v>160</v>
      </c>
      <c r="F70">
        <f ca="1">F66*160</f>
        <v>0</v>
      </c>
      <c r="G70">
        <f ca="1">G66*320</f>
        <v>0</v>
      </c>
      <c r="H70">
        <f ca="1">SUM(A70:G70)</f>
        <v>800</v>
      </c>
    </row>
    <row r="71" spans="1:8" x14ac:dyDescent="0.2">
      <c r="A71">
        <f ca="1">A68*0</f>
        <v>0</v>
      </c>
      <c r="B71">
        <f ca="1">B68*10</f>
        <v>0</v>
      </c>
      <c r="C71">
        <f ca="1">C68*20</f>
        <v>0</v>
      </c>
      <c r="D71">
        <f ca="1">D68*40</f>
        <v>0</v>
      </c>
      <c r="E71">
        <f ca="1">E68*80</f>
        <v>0</v>
      </c>
      <c r="F71">
        <f ca="1">F68*160</f>
        <v>0</v>
      </c>
      <c r="G71">
        <f ca="1">G68*320</f>
        <v>0</v>
      </c>
      <c r="H71">
        <f ca="1">SUM(A71:G71)</f>
        <v>0</v>
      </c>
    </row>
  </sheetData>
  <mergeCells count="63">
    <mergeCell ref="G1:G64"/>
    <mergeCell ref="E1:E16"/>
    <mergeCell ref="E17:E32"/>
    <mergeCell ref="E33:E48"/>
    <mergeCell ref="E49:E64"/>
    <mergeCell ref="F1:F32"/>
    <mergeCell ref="F33:F64"/>
    <mergeCell ref="C57:C60"/>
    <mergeCell ref="C61:C64"/>
    <mergeCell ref="D1:D8"/>
    <mergeCell ref="D9:D16"/>
    <mergeCell ref="D17:D24"/>
    <mergeCell ref="D25:D32"/>
    <mergeCell ref="D33:D40"/>
    <mergeCell ref="D41:D48"/>
    <mergeCell ref="D49:D56"/>
    <mergeCell ref="D57:D64"/>
    <mergeCell ref="C33:C36"/>
    <mergeCell ref="C37:C40"/>
    <mergeCell ref="C41:C44"/>
    <mergeCell ref="C45:C48"/>
    <mergeCell ref="C49:C52"/>
    <mergeCell ref="C53:C56"/>
    <mergeCell ref="B61:B62"/>
    <mergeCell ref="B63:B64"/>
    <mergeCell ref="C1:C4"/>
    <mergeCell ref="C5:C8"/>
    <mergeCell ref="C9:C12"/>
    <mergeCell ref="C13:C16"/>
    <mergeCell ref="C17:C20"/>
    <mergeCell ref="C21:C24"/>
    <mergeCell ref="C25:C28"/>
    <mergeCell ref="C29:C32"/>
    <mergeCell ref="B49:B50"/>
    <mergeCell ref="B51:B52"/>
    <mergeCell ref="B53:B54"/>
    <mergeCell ref="B55:B56"/>
    <mergeCell ref="B57:B58"/>
    <mergeCell ref="B59:B60"/>
    <mergeCell ref="B47:B48"/>
    <mergeCell ref="B25:B26"/>
    <mergeCell ref="B27:B28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  <mergeCell ref="B23:B24"/>
    <mergeCell ref="B1:B2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2016-03-21T21:06:05Z</dcterms:created>
  <dcterms:modified xsi:type="dcterms:W3CDTF">2016-04-04T15:04:32Z</dcterms:modified>
</cp:coreProperties>
</file>